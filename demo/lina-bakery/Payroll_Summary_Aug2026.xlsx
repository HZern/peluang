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yroll Aug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<sst xmlns="http://schemas.openxmlformats.org/spreadsheetml/2006/main" count="57" uniqueCount="47">
  <si>
    <t xml:space="preserve">LINA'S BAKERY SDN. BHD. – PAYROLL SUMMARY, AUGUST 2026</t>
  </si>
  <si>
    <t xml:space="preserve">SAMPLE – FICTIONAL. Mock data for a hackathon demo. Statutory contributions are approximations for illustration only.</t>
  </si>
  <si>
    <t xml:space="preserve">Emp ID</t>
  </si>
  <si>
    <t xml:space="preserve">Name</t>
  </si>
  <si>
    <t xml:space="preserve">Position</t>
  </si>
  <si>
    <t xml:space="preserve">Date joined</t>
  </si>
  <si>
    <t xml:space="preserve">Nationality</t>
  </si>
  <si>
    <t xml:space="preserve">Basic salary (RM)</t>
  </si>
  <si>
    <t xml:space="preserve">EPF employee 11%</t>
  </si>
  <si>
    <t xml:space="preserve">SOCSO+EIS employee</t>
  </si>
  <si>
    <t xml:space="preserve">Net pay (RM)</t>
  </si>
  <si>
    <t xml:space="preserve">EPF employer 13%</t>
  </si>
  <si>
    <t xml:space="preserve">SOCSO+EIS employer</t>
  </si>
  <si>
    <t xml:space="preserve">Total employer cost (RM)</t>
  </si>
  <si>
    <t xml:space="preserve">E001</t>
  </si>
  <si>
    <t xml:space="preserve">Siti Aminah binti Yusof</t>
  </si>
  <si>
    <t xml:space="preserve">Head Baker</t>
  </si>
  <si>
    <t xml:space="preserve">2023-06-01</t>
  </si>
  <si>
    <t xml:space="preserve">Malaysian</t>
  </si>
  <si>
    <t xml:space="preserve">E002</t>
  </si>
  <si>
    <t xml:space="preserve">Lim Mei Ling</t>
  </si>
  <si>
    <t xml:space="preserve">Pastry Chef</t>
  </si>
  <si>
    <t xml:space="preserve">E003</t>
  </si>
  <si>
    <t xml:space="preserve">Muhammad Hafiz bin Kamal</t>
  </si>
  <si>
    <t xml:space="preserve">Baker</t>
  </si>
  <si>
    <t xml:space="preserve">2023-09-11</t>
  </si>
  <si>
    <t xml:space="preserve">E004</t>
  </si>
  <si>
    <t xml:space="preserve">Rajesh a/l Kumar</t>
  </si>
  <si>
    <t xml:space="preserve">2024-02-05</t>
  </si>
  <si>
    <t xml:space="preserve">E005</t>
  </si>
  <si>
    <t xml:space="preserve">Nurul Izzah binti Ahmad</t>
  </si>
  <si>
    <t xml:space="preserve">Cashier / Front Counter</t>
  </si>
  <si>
    <t xml:space="preserve">E006</t>
  </si>
  <si>
    <t xml:space="preserve">Chong Wei Jie</t>
  </si>
  <si>
    <t xml:space="preserve">Front Counter</t>
  </si>
  <si>
    <t xml:space="preserve">2024-07-15</t>
  </si>
  <si>
    <t xml:space="preserve">E007</t>
  </si>
  <si>
    <t xml:space="preserve">Aisyah binti Rosli</t>
  </si>
  <si>
    <t xml:space="preserve">Kitchen Assistant</t>
  </si>
  <si>
    <t xml:space="preserve">2025-03-03</t>
  </si>
  <si>
    <t xml:space="preserve">E008</t>
  </si>
  <si>
    <t xml:space="preserve">Kavitha a/p Muniandy</t>
  </si>
  <si>
    <t xml:space="preserve">Packing &amp; Delivery Coordinator</t>
  </si>
  <si>
    <t xml:space="preserve">2024-11-18</t>
  </si>
  <si>
    <t xml:space="preserve">TOTAL (8 employees)</t>
  </si>
  <si>
    <t xml:space="preserve">Director's fee (Nur Lina binti Hassan) paid separately: RM4,000.00 per month.</t>
  </si>
  <si>
    <t xml:space="preserve">Hiring plan: 2 more front counter / online order staff from Nov 2026 (about RM1,900 each).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</si>
</sst>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C0392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4" t="n">
        <v>3500</v>
      </c>
      <c r="G5" s="4" t="n">
        <f aca="false">ROUND(F5*0.11,0)</f>
        <v>385</v>
      </c>
      <c r="H5" s="4" t="n">
        <f aca="false">ROUND(F5*0.007,2)</f>
        <v>24.5</v>
      </c>
      <c r="I5" s="4" t="n">
        <f aca="false">F5-G5-H5</f>
        <v>3090.5</v>
      </c>
      <c r="J5" s="4" t="n">
        <f aca="false">ROUND(F5*0.13,0)</f>
        <v>455</v>
      </c>
      <c r="K5" s="4" t="n">
        <f aca="false">ROUND(F5*0.0195,2)</f>
        <v>68.25</v>
      </c>
      <c r="L5" s="4" t="n">
        <f aca="false">F5+J5+K5</f>
        <v>4023.25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17</v>
      </c>
      <c r="E6" s="0" t="s">
        <v>18</v>
      </c>
      <c r="F6" s="4" t="n">
        <v>3200</v>
      </c>
      <c r="G6" s="4" t="n">
        <f aca="false">ROUND(F6*0.11,0)</f>
        <v>352</v>
      </c>
      <c r="H6" s="4" t="n">
        <f aca="false">ROUND(F6*0.007,2)</f>
        <v>22.4</v>
      </c>
      <c r="I6" s="4" t="n">
        <f aca="false">F6-G6-H6</f>
        <v>2825.6</v>
      </c>
      <c r="J6" s="4" t="n">
        <f aca="false">ROUND(F6*0.13,0)</f>
        <v>416</v>
      </c>
      <c r="K6" s="4" t="n">
        <f aca="false">ROUND(F6*0.0195,2)</f>
        <v>62.4</v>
      </c>
      <c r="L6" s="4" t="n">
        <f aca="false">F6+J6+K6</f>
        <v>3678.4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  <c r="E7" s="0" t="s">
        <v>18</v>
      </c>
      <c r="F7" s="4" t="n">
        <v>2600</v>
      </c>
      <c r="G7" s="4" t="n">
        <f aca="false">ROUND(F7*0.11,0)</f>
        <v>286</v>
      </c>
      <c r="H7" s="4" t="n">
        <f aca="false">ROUND(F7*0.007,2)</f>
        <v>18.2</v>
      </c>
      <c r="I7" s="4" t="n">
        <f aca="false">F7-G7-H7</f>
        <v>2295.8</v>
      </c>
      <c r="J7" s="4" t="n">
        <f aca="false">ROUND(F7*0.13,0)</f>
        <v>338</v>
      </c>
      <c r="K7" s="4" t="n">
        <f aca="false">ROUND(F7*0.0195,2)</f>
        <v>50.7</v>
      </c>
      <c r="L7" s="4" t="n">
        <f aca="false">F7+J7+K7</f>
        <v>2988.7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24</v>
      </c>
      <c r="D8" s="0" t="s">
        <v>28</v>
      </c>
      <c r="E8" s="0" t="s">
        <v>18</v>
      </c>
      <c r="F8" s="4" t="n">
        <v>2500</v>
      </c>
      <c r="G8" s="4" t="n">
        <f aca="false">ROUND(F8*0.11,0)</f>
        <v>275</v>
      </c>
      <c r="H8" s="4" t="n">
        <f aca="false">ROUND(F8*0.007,2)</f>
        <v>17.5</v>
      </c>
      <c r="I8" s="4" t="n">
        <f aca="false">F8-G8-H8</f>
        <v>2207.5</v>
      </c>
      <c r="J8" s="4" t="n">
        <f aca="false">ROUND(F8*0.13,0)</f>
        <v>325</v>
      </c>
      <c r="K8" s="4" t="n">
        <f aca="false">ROUND(F8*0.0195,2)</f>
        <v>48.75</v>
      </c>
      <c r="L8" s="4" t="n">
        <f aca="false">F8+J8+K8</f>
        <v>2873.75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31</v>
      </c>
      <c r="D9" s="0" t="s">
        <v>17</v>
      </c>
      <c r="E9" s="0" t="s">
        <v>18</v>
      </c>
      <c r="F9" s="4" t="n">
        <v>2000</v>
      </c>
      <c r="G9" s="4" t="n">
        <f aca="false">ROUND(F9*0.11,0)</f>
        <v>220</v>
      </c>
      <c r="H9" s="4" t="n">
        <f aca="false">ROUND(F9*0.007,2)</f>
        <v>14</v>
      </c>
      <c r="I9" s="4" t="n">
        <f aca="false">F9-G9-H9</f>
        <v>1766</v>
      </c>
      <c r="J9" s="4" t="n">
        <f aca="false">ROUND(F9*0.13,0)</f>
        <v>260</v>
      </c>
      <c r="K9" s="4" t="n">
        <f aca="false">ROUND(F9*0.0195,2)</f>
        <v>39</v>
      </c>
      <c r="L9" s="4" t="n">
        <f aca="false">F9+J9+K9</f>
        <v>2299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34</v>
      </c>
      <c r="D10" s="0" t="s">
        <v>35</v>
      </c>
      <c r="E10" s="0" t="s">
        <v>18</v>
      </c>
      <c r="F10" s="4" t="n">
        <v>1900</v>
      </c>
      <c r="G10" s="4" t="n">
        <f aca="false">ROUND(F10*0.11,0)</f>
        <v>209</v>
      </c>
      <c r="H10" s="4" t="n">
        <f aca="false">ROUND(F10*0.007,2)</f>
        <v>13.3</v>
      </c>
      <c r="I10" s="4" t="n">
        <f aca="false">F10-G10-H10</f>
        <v>1677.7</v>
      </c>
      <c r="J10" s="4" t="n">
        <f aca="false">ROUND(F10*0.13,0)</f>
        <v>247</v>
      </c>
      <c r="K10" s="4" t="n">
        <f aca="false">ROUND(F10*0.0195,2)</f>
        <v>37.05</v>
      </c>
      <c r="L10" s="4" t="n">
        <f aca="false">F10+J10+K10</f>
        <v>2184.05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38</v>
      </c>
      <c r="D11" s="0" t="s">
        <v>39</v>
      </c>
      <c r="E11" s="0" t="s">
        <v>18</v>
      </c>
      <c r="F11" s="4" t="n">
        <v>1800</v>
      </c>
      <c r="G11" s="4" t="n">
        <f aca="false">ROUND(F11*0.11,0)</f>
        <v>198</v>
      </c>
      <c r="H11" s="4" t="n">
        <f aca="false">ROUND(F11*0.007,2)</f>
        <v>12.6</v>
      </c>
      <c r="I11" s="4" t="n">
        <f aca="false">F11-G11-H11</f>
        <v>1589.4</v>
      </c>
      <c r="J11" s="4" t="n">
        <f aca="false">ROUND(F11*0.13,0)</f>
        <v>234</v>
      </c>
      <c r="K11" s="4" t="n">
        <f aca="false">ROUND(F11*0.0195,2)</f>
        <v>35.1</v>
      </c>
      <c r="L11" s="4" t="n">
        <f aca="false">F11+J11+K11</f>
        <v>2069.1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42</v>
      </c>
      <c r="D12" s="0" t="s">
        <v>43</v>
      </c>
      <c r="E12" s="0" t="s">
        <v>18</v>
      </c>
      <c r="F12" s="4" t="n">
        <v>2100</v>
      </c>
      <c r="G12" s="4" t="n">
        <f aca="false">ROUND(F12*0.11,0)</f>
        <v>231</v>
      </c>
      <c r="H12" s="4" t="n">
        <f aca="false">ROUND(F12*0.007,2)</f>
        <v>14.7</v>
      </c>
      <c r="I12" s="4" t="n">
        <f aca="false">F12-G12-H12</f>
        <v>1854.3</v>
      </c>
      <c r="J12" s="4" t="n">
        <f aca="false">ROUND(F12*0.13,0)</f>
        <v>273</v>
      </c>
      <c r="K12" s="4" t="n">
        <f aca="false">ROUND(F12*0.0195,2)</f>
        <v>40.95</v>
      </c>
      <c r="L12" s="4" t="n">
        <f aca="false">F12+J12+K12</f>
        <v>2413.95</v>
      </c>
    </row>
    <row r="13" customFormat="false" ht="15" hidden="false" customHeight="false" outlineLevel="0" collapsed="false">
      <c r="A13" s="5"/>
      <c r="B13" s="5" t="s">
        <v>44</v>
      </c>
      <c r="C13" s="5"/>
      <c r="D13" s="5"/>
      <c r="E13" s="5"/>
      <c r="F13" s="6" t="n">
        <f aca="false">SUM(F5:F12)</f>
        <v>19600</v>
      </c>
      <c r="G13" s="6" t="n">
        <f aca="false">SUM(G5:G12)</f>
        <v>2156</v>
      </c>
      <c r="H13" s="6" t="n">
        <f aca="false">SUM(H5:H12)</f>
        <v>137.2</v>
      </c>
      <c r="I13" s="6" t="n">
        <f aca="false">SUM(I5:I12)</f>
        <v>17306.8</v>
      </c>
      <c r="J13" s="6" t="n">
        <f aca="false">SUM(J5:J12)</f>
        <v>2548</v>
      </c>
      <c r="K13" s="6" t="n">
        <f aca="false">SUM(K5:K12)</f>
        <v>382.2</v>
      </c>
      <c r="L13" s="6" t="n">
        <f aca="false">SUM(L5:L12)</f>
        <v>22530.2</v>
      </c>
    </row>
    <row r="15" customFormat="false" ht="15" hidden="false" customHeight="false" outlineLevel="0" collapsed="false">
      <c r="A15" s="0" t="s">
        <v>45</v>
      </c>
    </row>
    <row r="16" customFormat="false" ht="15" hidden="false" customHeight="false" outlineLevel="0" collapsed="false">
      <c r="A16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2026-10-10T10:04:06Z</dcterms:created>
  <dc:creator>openpyxl</dc:creator>
  <dc:description/>
  <dc:language>en-US</dc:language>
  <cp:lastModifiedBy/>
  <dcterms:modified xsi:type="dcterms:W3CDTF">2026-10-10T10:04:06Z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